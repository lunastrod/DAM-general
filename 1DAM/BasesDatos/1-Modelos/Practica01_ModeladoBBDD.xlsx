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M-general\BasesDatos\"/>
    </mc:Choice>
  </mc:AlternateContent>
  <bookViews>
    <workbookView xWindow="0" yWindow="0" windowWidth="28800" windowHeight="12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" l="1"/>
  <c r="I4" i="1"/>
  <c r="I5" i="1"/>
  <c r="I6" i="1"/>
  <c r="I7" i="1"/>
  <c r="I8" i="1"/>
  <c r="I9" i="1"/>
  <c r="I10" i="1"/>
  <c r="I11" i="1"/>
  <c r="I12" i="1"/>
  <c r="I13" i="1"/>
  <c r="I14" i="1"/>
  <c r="I16" i="1"/>
  <c r="I17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M12" i="1"/>
  <c r="M4" i="1"/>
</calcChain>
</file>

<file path=xl/sharedStrings.xml><?xml version="1.0" encoding="utf-8"?>
<sst xmlns="http://schemas.openxmlformats.org/spreadsheetml/2006/main" count="59" uniqueCount="26">
  <si>
    <t>Música</t>
  </si>
  <si>
    <t>Género</t>
  </si>
  <si>
    <t>Artista</t>
  </si>
  <si>
    <t>Título</t>
  </si>
  <si>
    <t>Año</t>
  </si>
  <si>
    <t>Album</t>
  </si>
  <si>
    <t>Estado físico</t>
  </si>
  <si>
    <t>Prestado</t>
  </si>
  <si>
    <t>Bueno</t>
  </si>
  <si>
    <t>Dañado</t>
  </si>
  <si>
    <t>Nuevo</t>
  </si>
  <si>
    <t>No</t>
  </si>
  <si>
    <t>Juan</t>
  </si>
  <si>
    <t>María</t>
  </si>
  <si>
    <t>Ubicación</t>
  </si>
  <si>
    <t>Estantería1</t>
  </si>
  <si>
    <t>Estantería2</t>
  </si>
  <si>
    <t>Estantería3</t>
  </si>
  <si>
    <t>Casa Juan</t>
  </si>
  <si>
    <t>Coche María</t>
  </si>
  <si>
    <t>Coche</t>
  </si>
  <si>
    <t>Fecha prestado</t>
  </si>
  <si>
    <t>ID</t>
  </si>
  <si>
    <t>Contacto Préstamo</t>
  </si>
  <si>
    <t>Fecha Compra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</si>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</sst>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[$€-C0A]_-;\-* #,##0.00\ [$€-C0A]_-;_-* &quot;-&quot;??\ [$€-C0A]_-;_-@_-"/>
  </numFmts>
  <fonts count="2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16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1" fillId="0" borderId="1" xfId="1"/>
  </cellXfs>
  <cellStyles count="2">
    <cellStyle name="Normal" xfId="0" builtinId="0"/>
    <cellStyle name="Título 2" xfId="1" builtinId="17"/>
  </cellStyles>
  <dxfs count="12"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9F9F"/>
        </patternFill>
      </fill>
    </dxf>
    <dxf>
      <fill>
        <patternFill>
          <bgColor theme="7" tint="0.59996337778862885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H31" sqref="H31"/>
    </sheetView>
  </sheetViews>
  <sheetFormatPr baseColWidth="10" defaultRowHeight="15" x14ac:dyDescent="0.25"/>
  <cols>
    <col min="8" max="9" width="16.140625" customWidth="1"/>
    <col min="11" max="11" width="17.28515625" customWidth="1"/>
    <col min="13" max="13" width="17.140625" customWidth="1"/>
    <col min="14" max="14" width="15.28515625" customWidth="1"/>
  </cols>
  <sheetData>
    <row r="1" spans="1:14" x14ac:dyDescent="0.25">
      <c r="A1" t="s">
        <v>0</v>
      </c>
    </row>
    <row r="2" spans="1:14" ht="18" thickBot="1" x14ac:dyDescent="0.35">
      <c r="B2" s="4" t="s">
        <v>22</v>
      </c>
      <c r="C2" s="4" t="s">
        <v>1</v>
      </c>
      <c r="D2" s="4" t="s">
        <v>3</v>
      </c>
      <c r="E2" s="4" t="s">
        <v>2</v>
      </c>
      <c r="F2" s="4" t="s">
        <v>4</v>
      </c>
      <c r="G2" s="4" t="s">
        <v>5</v>
      </c>
      <c r="H2" s="4" t="s">
        <v>24</v>
      </c>
      <c r="I2" s="4" t="s">
        <v>25</v>
      </c>
      <c r="J2" s="4" t="s">
        <v>6</v>
      </c>
      <c r="K2" s="4" t="s">
        <v>7</v>
      </c>
      <c r="L2" s="4" t="s">
        <v>14</v>
      </c>
      <c r="M2" s="4" t="s">
        <v>23</v>
      </c>
      <c r="N2" s="4" t="s">
        <v>21</v>
      </c>
    </row>
    <row r="3" spans="1:14" ht="15.75" thickTop="1" x14ac:dyDescent="0.25">
      <c r="B3">
        <v>1</v>
      </c>
      <c r="H3" s="2">
        <f ca="1">DATE(RANDBETWEEN(1990,2025),RANDBETWEEN(1,12),RANDBETWEEN(1,28))</f>
        <v>41481</v>
      </c>
      <c r="I3" s="3">
        <f ca="1">RANDBETWEEN(500,1500)/100</f>
        <v>5.95</v>
      </c>
      <c r="J3" t="s">
        <v>10</v>
      </c>
      <c r="K3" t="s">
        <v>11</v>
      </c>
      <c r="L3" t="s">
        <v>15</v>
      </c>
    </row>
    <row r="4" spans="1:14" x14ac:dyDescent="0.25">
      <c r="B4">
        <v>2</v>
      </c>
      <c r="H4" s="2">
        <f t="shared" ref="H4:H17" ca="1" si="0">DATE(RANDBETWEEN(1990,2025),RANDBETWEEN(1,12),RANDBETWEEN(1,28))</f>
        <v>36543</v>
      </c>
      <c r="I4" s="3">
        <f t="shared" ref="I4:I17" ca="1" si="1">RANDBETWEEN(500,1500)/100</f>
        <v>8.6300000000000008</v>
      </c>
      <c r="J4" t="s">
        <v>10</v>
      </c>
      <c r="K4" t="s">
        <v>12</v>
      </c>
      <c r="L4" t="s">
        <v>18</v>
      </c>
      <c r="M4">
        <f ca="1">681000000+RANDBETWEEN(0,999999)</f>
        <v>681285080</v>
      </c>
      <c r="N4" s="1">
        <v>45892</v>
      </c>
    </row>
    <row r="5" spans="1:14" x14ac:dyDescent="0.25">
      <c r="B5">
        <v>3</v>
      </c>
      <c r="H5" s="2">
        <f t="shared" ca="1" si="0"/>
        <v>33240</v>
      </c>
      <c r="I5" s="3">
        <f t="shared" ca="1" si="1"/>
        <v>6.64</v>
      </c>
      <c r="J5" t="s">
        <v>10</v>
      </c>
      <c r="K5" t="s">
        <v>11</v>
      </c>
      <c r="L5" t="s">
        <v>17</v>
      </c>
    </row>
    <row r="6" spans="1:14" x14ac:dyDescent="0.25">
      <c r="B6">
        <v>4</v>
      </c>
      <c r="H6" s="2">
        <f t="shared" ca="1" si="0"/>
        <v>41604</v>
      </c>
      <c r="I6" s="3">
        <f t="shared" ca="1" si="1"/>
        <v>7.93</v>
      </c>
      <c r="J6" t="s">
        <v>10</v>
      </c>
      <c r="K6" t="s">
        <v>11</v>
      </c>
      <c r="L6" t="s">
        <v>20</v>
      </c>
    </row>
    <row r="7" spans="1:14" x14ac:dyDescent="0.25">
      <c r="B7">
        <v>5</v>
      </c>
      <c r="H7" s="2">
        <f t="shared" ca="1" si="0"/>
        <v>37742</v>
      </c>
      <c r="I7" s="3">
        <f t="shared" ca="1" si="1"/>
        <v>11.93</v>
      </c>
      <c r="J7" t="s">
        <v>10</v>
      </c>
      <c r="K7" t="s">
        <v>11</v>
      </c>
      <c r="L7" t="s">
        <v>15</v>
      </c>
    </row>
    <row r="8" spans="1:14" x14ac:dyDescent="0.25">
      <c r="B8">
        <v>6</v>
      </c>
      <c r="H8" s="2">
        <f t="shared" ca="1" si="0"/>
        <v>37508</v>
      </c>
      <c r="I8" s="3">
        <f t="shared" ca="1" si="1"/>
        <v>11.83</v>
      </c>
      <c r="J8" t="s">
        <v>10</v>
      </c>
      <c r="K8" t="s">
        <v>11</v>
      </c>
      <c r="L8" t="s">
        <v>16</v>
      </c>
    </row>
    <row r="9" spans="1:14" x14ac:dyDescent="0.25">
      <c r="B9">
        <v>7</v>
      </c>
      <c r="H9" s="2">
        <f t="shared" ca="1" si="0"/>
        <v>39279</v>
      </c>
      <c r="I9" s="3">
        <f t="shared" ca="1" si="1"/>
        <v>13.23</v>
      </c>
      <c r="J9" t="s">
        <v>9</v>
      </c>
      <c r="K9" t="s">
        <v>11</v>
      </c>
      <c r="L9" t="s">
        <v>15</v>
      </c>
    </row>
    <row r="10" spans="1:14" x14ac:dyDescent="0.25">
      <c r="B10">
        <v>8</v>
      </c>
      <c r="H10" s="2">
        <f t="shared" ca="1" si="0"/>
        <v>33923</v>
      </c>
      <c r="I10" s="3">
        <f t="shared" ca="1" si="1"/>
        <v>12.27</v>
      </c>
      <c r="J10" t="s">
        <v>9</v>
      </c>
      <c r="K10" t="s">
        <v>11</v>
      </c>
      <c r="L10" t="s">
        <v>16</v>
      </c>
    </row>
    <row r="11" spans="1:14" x14ac:dyDescent="0.25">
      <c r="B11">
        <v>9</v>
      </c>
      <c r="H11" s="2">
        <f t="shared" ca="1" si="0"/>
        <v>36589</v>
      </c>
      <c r="I11" s="3">
        <f t="shared" ca="1" si="1"/>
        <v>8.07</v>
      </c>
      <c r="J11" t="s">
        <v>9</v>
      </c>
      <c r="K11" t="s">
        <v>11</v>
      </c>
      <c r="L11" t="s">
        <v>20</v>
      </c>
    </row>
    <row r="12" spans="1:14" x14ac:dyDescent="0.25">
      <c r="B12">
        <v>10</v>
      </c>
      <c r="H12" s="2">
        <f t="shared" ca="1" si="0"/>
        <v>43227</v>
      </c>
      <c r="I12" s="3">
        <f t="shared" ca="1" si="1"/>
        <v>6.64</v>
      </c>
      <c r="J12" t="s">
        <v>9</v>
      </c>
      <c r="K12" t="s">
        <v>13</v>
      </c>
      <c r="L12" t="s">
        <v>19</v>
      </c>
      <c r="M12">
        <f ca="1">681000000+RANDBETWEEN(0,999999)</f>
        <v>681735015</v>
      </c>
      <c r="N12" s="1">
        <v>45061</v>
      </c>
    </row>
    <row r="13" spans="1:14" x14ac:dyDescent="0.25">
      <c r="B13">
        <v>11</v>
      </c>
      <c r="H13" s="2">
        <f t="shared" ca="1" si="0"/>
        <v>41506</v>
      </c>
      <c r="I13" s="3">
        <f t="shared" ca="1" si="1"/>
        <v>13.34</v>
      </c>
      <c r="J13" t="s">
        <v>9</v>
      </c>
      <c r="K13" t="s">
        <v>11</v>
      </c>
      <c r="L13" t="s">
        <v>20</v>
      </c>
    </row>
    <row r="14" spans="1:14" x14ac:dyDescent="0.25">
      <c r="B14">
        <v>12</v>
      </c>
      <c r="H14" s="2">
        <f t="shared" ca="1" si="0"/>
        <v>44105</v>
      </c>
      <c r="I14" s="3">
        <f t="shared" ca="1" si="1"/>
        <v>14.76</v>
      </c>
      <c r="J14" t="s">
        <v>8</v>
      </c>
      <c r="K14" t="s">
        <v>11</v>
      </c>
      <c r="L14" t="s">
        <v>15</v>
      </c>
    </row>
    <row r="15" spans="1:14" x14ac:dyDescent="0.25">
      <c r="B15">
        <v>13</v>
      </c>
      <c r="H15" s="2">
        <f t="shared" ca="1" si="0"/>
        <v>38262</v>
      </c>
      <c r="I15" s="3">
        <f ca="1">RANDBETWEEN(500,1500)/100</f>
        <v>12.89</v>
      </c>
      <c r="J15" t="s">
        <v>8</v>
      </c>
      <c r="K15" t="s">
        <v>11</v>
      </c>
      <c r="L15" t="s">
        <v>20</v>
      </c>
    </row>
    <row r="16" spans="1:14" x14ac:dyDescent="0.25">
      <c r="B16">
        <v>14</v>
      </c>
      <c r="H16" s="2">
        <f t="shared" ca="1" si="0"/>
        <v>34825</v>
      </c>
      <c r="I16" s="3">
        <f t="shared" ca="1" si="1"/>
        <v>6.86</v>
      </c>
      <c r="J16" t="s">
        <v>8</v>
      </c>
      <c r="K16" t="s">
        <v>11</v>
      </c>
      <c r="L16" t="s">
        <v>15</v>
      </c>
    </row>
    <row r="17" spans="2:12" x14ac:dyDescent="0.25">
      <c r="B17">
        <v>15</v>
      </c>
      <c r="H17" s="2">
        <f t="shared" ca="1" si="0"/>
        <v>45245</v>
      </c>
      <c r="I17" s="3">
        <f t="shared" ca="1" si="1"/>
        <v>10.220000000000001</v>
      </c>
      <c r="J17" t="s">
        <v>8</v>
      </c>
      <c r="K17" t="s">
        <v>11</v>
      </c>
      <c r="L17" t="s">
        <v>15</v>
      </c>
    </row>
  </sheetData>
  <conditionalFormatting sqref="J3:J17">
    <cfRule type="containsText" dxfId="3" priority="2" operator="containsText" text="Dañado">
      <formula>NOT(ISERROR(SEARCH("Dañado",J3)))</formula>
    </cfRule>
    <cfRule type="containsText" dxfId="2" priority="3" operator="containsText" text="Bueno">
      <formula>NOT(ISERROR(SEARCH("Bueno",J3)))</formula>
    </cfRule>
    <cfRule type="containsText" dxfId="1" priority="5" operator="containsText" text="Nuevo">
      <formula>NOT(ISERROR(SEARCH("Nuevo",J3)))</formula>
    </cfRule>
  </conditionalFormatting>
  <conditionalFormatting sqref="K3:K17">
    <cfRule type="notContainsText" dxfId="0" priority="1" operator="notContains" text="No">
      <formula>ISERROR(SEARCH("No",K3))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PARRA SEGOVIA</dc:creator>
  <cp:lastModifiedBy>DANIEL PARRA SEGOVIA</cp:lastModifiedBy>
  <dcterms:created xsi:type="dcterms:W3CDTF">2025-09-19T08:16:28Z</dcterms:created>
  <dcterms:modified xsi:type="dcterms:W3CDTF">2025-09-19T08:45:57Z</dcterms:modified>
</cp:coreProperties>
</file>